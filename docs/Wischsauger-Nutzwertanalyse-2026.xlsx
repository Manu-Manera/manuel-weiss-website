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gleich" sheetId="1" state="visible" r:id="rId1"/>
    <sheet name="Nutzwertanalyse" sheetId="2" state="visible" r:id="rId2"/>
    <sheet name="Erklärung &amp; Methodi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'##0"/>
    <numFmt numFmtId="165" formatCode="0 %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B45309"/>
      <sz val="13"/>
    </font>
    <font>
      <b val="1"/>
      <sz val="12"/>
    </font>
    <font>
      <b val="1"/>
      <color rgb="00B45309"/>
    </font>
    <font>
      <b val="1"/>
      <color rgb="001F2A5C"/>
      <sz val="14"/>
    </font>
  </fonts>
  <fills count="7">
    <fill>
      <patternFill/>
    </fill>
    <fill>
      <patternFill patternType="gray125"/>
    </fill>
    <fill>
      <patternFill patternType="solid">
        <fgColor rgb="001F2A5C"/>
      </patternFill>
    </fill>
    <fill>
      <patternFill patternType="solid">
        <fgColor rgb="00F2F4FB"/>
      </patternFill>
    </fill>
    <fill>
      <patternFill patternType="solid">
        <fgColor rgb="00FFF2B3"/>
      </patternFill>
    </fill>
    <fill>
      <patternFill patternType="solid">
        <fgColor rgb="00C9F5D5"/>
      </patternFill>
    </fill>
    <fill>
      <patternFill patternType="solid">
        <fgColor rgb="00FFE08A"/>
      </patternFill>
    </fill>
  </fills>
  <borders count="2">
    <border>
      <left/>
      <right/>
      <top/>
      <bottom/>
      <diagonal/>
    </border>
    <border>
      <left style="thin">
        <color rgb="00B8C0DE"/>
      </left>
      <right style="thin">
        <color rgb="00B8C0DE"/>
      </right>
      <top style="thin">
        <color rgb="00B8C0DE"/>
      </top>
      <bottom style="thin">
        <color rgb="00B8C0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3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6" borderId="1" pivotButton="0" quotePrefix="0" xfId="0"/>
    <xf numFmtId="0" fontId="0" fillId="6" borderId="0" pivotButton="0" quotePrefix="0" xfId="0"/>
    <xf numFmtId="2" fontId="4" fillId="6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10" customWidth="1" min="4" max="4"/>
    <col width="14" customWidth="1" min="5" max="5"/>
    <col width="14" customWidth="1" min="6" max="6"/>
    <col width="24" customWidth="1" min="7" max="7"/>
    <col width="14" customWidth="1" min="8" max="8"/>
    <col width="14" customWidth="1" min="9" max="9"/>
    <col width="12" customWidth="1" min="10" max="10"/>
    <col width="16" customWidth="1" min="11" max="11"/>
    <col width="14" customWidth="1" min="12" max="12"/>
    <col width="20" customWidth="1" min="13" max="13"/>
    <col width="20" customWidth="1" min="14" max="14"/>
    <col width="16" customWidth="1" min="15" max="15"/>
    <col width="16" customWidth="1" min="16" max="16"/>
    <col width="14" customWidth="1" min="17" max="17"/>
    <col width="12" customWidth="1" min="18" max="18"/>
    <col width="10" customWidth="1" min="19" max="19"/>
    <col width="14" customWidth="1" min="20" max="20"/>
    <col width="10" customWidth="1" min="21" max="21"/>
    <col width="12" customWidth="1" min="22" max="22"/>
    <col width="16" customWidth="1" min="23" max="23"/>
    <col width="14" customWidth="1" min="24" max="24"/>
    <col width="44" customWidth="1" min="25" max="25"/>
    <col width="40" customWidth="1" min="26" max="26"/>
  </cols>
  <sheetData>
    <row r="1" ht="40" customHeight="1">
      <c r="A1" s="1" t="inlineStr">
        <is>
          <t>Gerät</t>
        </is>
      </c>
      <c r="B1" s="1" t="inlineStr">
        <is>
          <t>Gerätetyp</t>
        </is>
      </c>
      <c r="C1" s="1" t="inlineStr">
        <is>
          <t>Stromversorgung</t>
        </is>
      </c>
      <c r="D1" s="1" t="inlineStr">
        <is>
          <t>Kabellänge</t>
        </is>
      </c>
      <c r="E1" s="1" t="inlineStr">
        <is>
          <t>Leistung</t>
        </is>
      </c>
      <c r="F1" s="1" t="inlineStr">
        <is>
          <t>Reinigung vorwärts</t>
        </is>
      </c>
      <c r="G1" s="1" t="inlineStr">
        <is>
          <t>Reinigung rückwärts</t>
        </is>
      </c>
      <c r="H1" s="1" t="inlineStr">
        <is>
          <t>Frischwassertank (l)</t>
        </is>
      </c>
      <c r="I1" s="1" t="inlineStr">
        <is>
          <t>Schmutzwassertank (l)</t>
        </is>
      </c>
      <c r="J1" s="1" t="inlineStr">
        <is>
          <t>Reinigungsbreite</t>
        </is>
      </c>
      <c r="K1" s="1" t="inlineStr">
        <is>
          <t>Selbstreinigung</t>
        </is>
      </c>
      <c r="L1" s="1" t="inlineStr">
        <is>
          <t>Autom. Trocknung</t>
        </is>
      </c>
      <c r="M1" s="1" t="inlineStr">
        <is>
          <t>Autom. Nachfüllen</t>
        </is>
      </c>
      <c r="N1" s="1" t="inlineStr">
        <is>
          <t>Autom. Schmutzwasser-Entsorgung</t>
        </is>
      </c>
      <c r="O1" s="1" t="inlineStr">
        <is>
          <t>Frischwasseranschluss</t>
        </is>
      </c>
      <c r="P1" s="1" t="inlineStr">
        <is>
          <t>Abwasseranschluss</t>
        </is>
      </c>
      <c r="Q1" s="1" t="inlineStr">
        <is>
          <t>Station</t>
        </is>
      </c>
      <c r="R1" s="1" t="inlineStr">
        <is>
          <t>Gewicht</t>
        </is>
      </c>
      <c r="S1" s="1" t="inlineStr">
        <is>
          <t>Lautstärke</t>
        </is>
      </c>
      <c r="T1" s="1" t="inlineStr">
        <is>
          <t>Teppich</t>
        </is>
      </c>
      <c r="U1" s="1" t="inlineStr">
        <is>
          <t>Hartboden</t>
        </is>
      </c>
      <c r="V1" s="1" t="inlineStr">
        <is>
          <t>Preis ca. (CHF)</t>
        </is>
      </c>
      <c r="W1" s="1" t="inlineStr">
        <is>
          <t>Preis (Original)</t>
        </is>
      </c>
      <c r="X1" s="1" t="inlineStr">
        <is>
          <t>Verfügbarkeit CH</t>
        </is>
      </c>
      <c r="Y1" s="1" t="inlineStr">
        <is>
          <t>Wichtigste Vorteile</t>
        </is>
      </c>
      <c r="Z1" s="1" t="inlineStr">
        <is>
          <t>Wichtigste Nachteile</t>
        </is>
      </c>
    </row>
    <row r="2">
      <c r="A2" s="2" t="inlineStr">
        <is>
          <t>Kärcher BR 30/4 C Ep</t>
        </is>
      </c>
      <c r="B2" s="3" t="inlineStr">
        <is>
          <t>Scheuersaugmaschine</t>
        </is>
      </c>
      <c r="C2" s="3" t="inlineStr">
        <is>
          <t>Kabel</t>
        </is>
      </c>
      <c r="D2" s="3" t="inlineStr">
        <is>
          <t>k. A.</t>
        </is>
      </c>
      <c r="E2" s="3" t="inlineStr">
        <is>
          <t>820 W</t>
        </is>
      </c>
      <c r="F2" s="3" t="inlineStr">
        <is>
          <t>Ja</t>
        </is>
      </c>
      <c r="G2" s="3" t="inlineStr">
        <is>
          <t>Ja (Hersteller-spezifiziert)</t>
        </is>
      </c>
      <c r="H2" s="3" t="n">
        <v>4</v>
      </c>
      <c r="I2" s="3" t="n">
        <v>4</v>
      </c>
      <c r="J2" s="3" t="inlineStr">
        <is>
          <t>30 cm</t>
        </is>
      </c>
      <c r="K2" s="3" t="inlineStr">
        <is>
          <t>Nein</t>
        </is>
      </c>
      <c r="L2" s="3" t="inlineStr">
        <is>
          <t>Nein</t>
        </is>
      </c>
      <c r="M2" s="3" t="inlineStr">
        <is>
          <t>Nein</t>
        </is>
      </c>
      <c r="N2" s="3" t="inlineStr">
        <is>
          <t>Nein</t>
        </is>
      </c>
      <c r="O2" s="3" t="inlineStr">
        <is>
          <t>Nein</t>
        </is>
      </c>
      <c r="P2" s="3" t="inlineStr">
        <is>
          <t>Nein</t>
        </is>
      </c>
      <c r="Q2" s="3" t="inlineStr">
        <is>
          <t>Nein</t>
        </is>
      </c>
      <c r="R2" s="3" t="inlineStr">
        <is>
          <t>ca. 12 kg</t>
        </is>
      </c>
      <c r="S2" s="3" t="inlineStr">
        <is>
          <t>72 dB</t>
        </is>
      </c>
      <c r="T2" s="3" t="inlineStr">
        <is>
          <t>Nein</t>
        </is>
      </c>
      <c r="U2" s="3" t="inlineStr">
        <is>
          <t>Ja</t>
        </is>
      </c>
      <c r="V2" s="4" t="n">
        <v>1250</v>
      </c>
      <c r="W2" s="3" t="inlineStr">
        <is>
          <t>ab CHF 1'114</t>
        </is>
      </c>
      <c r="X2" s="3" t="inlineStr">
        <is>
          <t>Ja</t>
        </is>
      </c>
      <c r="Y2" s="3" t="inlineStr">
        <is>
          <t>10× Anpressdruck, beidseitige Absaugung, Boden sofort trocken</t>
        </is>
      </c>
      <c r="Z2" s="3" t="inlineStr">
        <is>
          <t>Keine Station, kein Teppich, Profi-Preis</t>
        </is>
      </c>
    </row>
    <row r="3">
      <c r="A3" s="5" t="inlineStr">
        <is>
          <t>Kärcher BR 40/10 C Adv</t>
        </is>
      </c>
      <c r="B3" s="6" t="inlineStr">
        <is>
          <t>Scheuersaugmaschine XL</t>
        </is>
      </c>
      <c r="C3" s="6" t="inlineStr">
        <is>
          <t>Kabel</t>
        </is>
      </c>
      <c r="D3" s="6" t="inlineStr">
        <is>
          <t>k. A.</t>
        </is>
      </c>
      <c r="E3" s="6" t="inlineStr">
        <is>
          <t>max. 2300 W</t>
        </is>
      </c>
      <c r="F3" s="6" t="inlineStr">
        <is>
          <t>Ja</t>
        </is>
      </c>
      <c r="G3" s="6" t="inlineStr">
        <is>
          <t>Ja (2 Sauglippen)</t>
        </is>
      </c>
      <c r="H3" s="6" t="n">
        <v>10</v>
      </c>
      <c r="I3" s="6" t="n">
        <v>10</v>
      </c>
      <c r="J3" s="6" t="inlineStr">
        <is>
          <t>40 cm</t>
        </is>
      </c>
      <c r="K3" s="6" t="inlineStr">
        <is>
          <t>Nein</t>
        </is>
      </c>
      <c r="L3" s="6" t="inlineStr">
        <is>
          <t>Nein</t>
        </is>
      </c>
      <c r="M3" s="6" t="inlineStr">
        <is>
          <t>Nein (Zubehör DS 3)</t>
        </is>
      </c>
      <c r="N3" s="6" t="inlineStr">
        <is>
          <t>Nein</t>
        </is>
      </c>
      <c r="O3" s="6" t="inlineStr">
        <is>
          <t>Nein</t>
        </is>
      </c>
      <c r="P3" s="6" t="inlineStr">
        <is>
          <t>Nein</t>
        </is>
      </c>
      <c r="Q3" s="6" t="inlineStr">
        <is>
          <t>Nein</t>
        </is>
      </c>
      <c r="R3" s="6" t="inlineStr">
        <is>
          <t>ca. 35,5 kg</t>
        </is>
      </c>
      <c r="S3" s="6" t="inlineStr">
        <is>
          <t>75 dB</t>
        </is>
      </c>
      <c r="T3" s="6" t="inlineStr">
        <is>
          <t>Nein</t>
        </is>
      </c>
      <c r="U3" s="6" t="inlineStr">
        <is>
          <t>Ja</t>
        </is>
      </c>
      <c r="V3" s="7" t="n">
        <v>2200</v>
      </c>
      <c r="W3" s="6" t="inlineStr">
        <is>
          <t>ca. EUR 2'000+</t>
        </is>
      </c>
      <c r="X3" s="6" t="inlineStr">
        <is>
          <t>Fachhandel</t>
        </is>
      </c>
      <c r="Y3" s="6" t="inlineStr">
        <is>
          <t>Größte Tanks (10+10 l), 400 m²/h, beidseitig</t>
        </is>
      </c>
      <c r="Z3" s="6" t="inlineStr">
        <is>
          <t>35 kg schwer, teuer</t>
        </is>
      </c>
    </row>
    <row r="4">
      <c r="A4" s="2" t="inlineStr">
        <is>
          <t>Nilfisk SC100 E</t>
        </is>
      </c>
      <c r="B4" s="3" t="inlineStr">
        <is>
          <t>Kompakt-Scheuersauger</t>
        </is>
      </c>
      <c r="C4" s="3" t="inlineStr">
        <is>
          <t>Kabel</t>
        </is>
      </c>
      <c r="D4" s="3" t="inlineStr">
        <is>
          <t>10 m</t>
        </is>
      </c>
      <c r="E4" s="3" t="inlineStr">
        <is>
          <t>800 W</t>
        </is>
      </c>
      <c r="F4" s="3" t="inlineStr">
        <is>
          <t>Ja</t>
        </is>
      </c>
      <c r="G4" s="3" t="inlineStr">
        <is>
          <t>Ja (Hersteller)</t>
        </is>
      </c>
      <c r="H4" s="3" t="n">
        <v>3</v>
      </c>
      <c r="I4" s="3" t="n">
        <v>4</v>
      </c>
      <c r="J4" s="3" t="inlineStr">
        <is>
          <t>31 cm</t>
        </is>
      </c>
      <c r="K4" s="3" t="inlineStr">
        <is>
          <t>Nein</t>
        </is>
      </c>
      <c r="L4" s="3" t="inlineStr">
        <is>
          <t>Nein</t>
        </is>
      </c>
      <c r="M4" s="3" t="inlineStr">
        <is>
          <t>Nein</t>
        </is>
      </c>
      <c r="N4" s="3" t="inlineStr">
        <is>
          <t>Nein</t>
        </is>
      </c>
      <c r="O4" s="3" t="inlineStr">
        <is>
          <t>Nein</t>
        </is>
      </c>
      <c r="P4" s="3" t="inlineStr">
        <is>
          <t>Nein</t>
        </is>
      </c>
      <c r="Q4" s="3" t="inlineStr">
        <is>
          <t>Nein</t>
        </is>
      </c>
      <c r="R4" s="3" t="inlineStr">
        <is>
          <t>12 kg</t>
        </is>
      </c>
      <c r="S4" s="3" t="inlineStr">
        <is>
          <t>72 dB</t>
        </is>
      </c>
      <c r="T4" s="3" t="inlineStr">
        <is>
          <t>Nur mit Kit</t>
        </is>
      </c>
      <c r="U4" s="3" t="inlineStr">
        <is>
          <t>Ja</t>
        </is>
      </c>
      <c r="V4" s="4" t="n">
        <v>1290</v>
      </c>
      <c r="W4" s="3" t="inlineStr">
        <is>
          <t>CHF 1'290</t>
        </is>
      </c>
      <c r="X4" s="3" t="inlineStr">
        <is>
          <t>Ja</t>
        </is>
      </c>
      <c r="Y4" s="3" t="inlineStr">
        <is>
          <t>Leicht, 10-m-Kabel, offiziell auch für zuhause</t>
        </is>
      </c>
      <c r="Z4" s="3" t="inlineStr">
        <is>
          <t>Kleinster Profi-Frischtank</t>
        </is>
      </c>
    </row>
    <row r="5">
      <c r="A5" s="5" t="inlineStr">
        <is>
          <t>Truvox Multiwash PRO 340</t>
        </is>
      </c>
      <c r="B5" s="6" t="inlineStr">
        <is>
          <t>Multiflächen-Scheuersauger</t>
        </is>
      </c>
      <c r="C5" s="6" t="inlineStr">
        <is>
          <t>Kabel</t>
        </is>
      </c>
      <c r="D5" s="6" t="inlineStr">
        <is>
          <t>12 m</t>
        </is>
      </c>
      <c r="E5" s="6" t="inlineStr">
        <is>
          <t>950 W</t>
        </is>
      </c>
      <c r="F5" s="6" t="inlineStr">
        <is>
          <t>Ja</t>
        </is>
      </c>
      <c r="G5" s="6" t="inlineStr">
        <is>
          <t>Ja (Kontra-Walzen)</t>
        </is>
      </c>
      <c r="H5" s="6" t="n">
        <v>4</v>
      </c>
      <c r="I5" s="6" t="n">
        <v>3</v>
      </c>
      <c r="J5" s="6" t="inlineStr">
        <is>
          <t>34 cm</t>
        </is>
      </c>
      <c r="K5" s="6" t="inlineStr">
        <is>
          <t>Nein</t>
        </is>
      </c>
      <c r="L5" s="6" t="inlineStr">
        <is>
          <t>Nein</t>
        </is>
      </c>
      <c r="M5" s="6" t="inlineStr">
        <is>
          <t>Nein</t>
        </is>
      </c>
      <c r="N5" s="6" t="inlineStr">
        <is>
          <t>Nein</t>
        </is>
      </c>
      <c r="O5" s="6" t="inlineStr">
        <is>
          <t>Nein</t>
        </is>
      </c>
      <c r="P5" s="6" t="inlineStr">
        <is>
          <t>Nein</t>
        </is>
      </c>
      <c r="Q5" s="6" t="inlineStr">
        <is>
          <t>Nein</t>
        </is>
      </c>
      <c r="R5" s="6" t="inlineStr">
        <is>
          <t>26,5 kg</t>
        </is>
      </c>
      <c r="S5" s="6" t="inlineStr">
        <is>
          <t>69 dB</t>
        </is>
      </c>
      <c r="T5" s="6" t="inlineStr">
        <is>
          <t>Ja</t>
        </is>
      </c>
      <c r="U5" s="6" t="inlineStr">
        <is>
          <t>Ja</t>
        </is>
      </c>
      <c r="V5" s="7" t="n">
        <v>2000</v>
      </c>
      <c r="W5" s="6" t="inlineStr">
        <is>
          <t>ca. £1'784</t>
        </is>
      </c>
      <c r="X5" s="6" t="inlineStr">
        <is>
          <t>Import</t>
        </is>
      </c>
      <c r="Y5" s="6" t="inlineStr">
        <is>
          <t>Teppich-tauglich, 12-m-Kabel, leise, opt. 7-l-Tank</t>
        </is>
      </c>
      <c r="Z5" s="6" t="inlineStr">
        <is>
          <t>Schwer, CH-Bezug schwierig</t>
        </is>
      </c>
    </row>
    <row r="6">
      <c r="A6" s="2" t="inlineStr">
        <is>
          <t>Bissell CrossWave HydroSteam Pet Pro</t>
        </is>
      </c>
      <c r="B6" s="3" t="inlineStr">
        <is>
          <t>Kabel-Wischsauger + Dampf</t>
        </is>
      </c>
      <c r="C6" s="3" t="inlineStr">
        <is>
          <t>Kabel</t>
        </is>
      </c>
      <c r="D6" s="3" t="inlineStr">
        <is>
          <t>7,5 m</t>
        </is>
      </c>
      <c r="E6" s="3" t="inlineStr">
        <is>
          <t>1100 W</t>
        </is>
      </c>
      <c r="F6" s="3" t="inlineStr">
        <is>
          <t>Ja</t>
        </is>
      </c>
      <c r="G6" s="3" t="inlineStr">
        <is>
          <t>Eingeschränkt (Trockenpass)</t>
        </is>
      </c>
      <c r="H6" s="3" t="n">
        <v>0.82</v>
      </c>
      <c r="I6" s="3" t="n">
        <v>0.64</v>
      </c>
      <c r="J6" s="3" t="inlineStr">
        <is>
          <t>ca. 27 cm</t>
        </is>
      </c>
      <c r="K6" s="3" t="inlineStr">
        <is>
          <t>Ja (Spülzyklus)</t>
        </is>
      </c>
      <c r="L6" s="3" t="inlineStr">
        <is>
          <t>Nein</t>
        </is>
      </c>
      <c r="M6" s="3" t="inlineStr">
        <is>
          <t>Nein</t>
        </is>
      </c>
      <c r="N6" s="3" t="inlineStr">
        <is>
          <t>Nein</t>
        </is>
      </c>
      <c r="O6" s="3" t="inlineStr">
        <is>
          <t>Nein</t>
        </is>
      </c>
      <c r="P6" s="3" t="inlineStr">
        <is>
          <t>Nein</t>
        </is>
      </c>
      <c r="Q6" s="3" t="inlineStr">
        <is>
          <t>Abstellschale</t>
        </is>
      </c>
      <c r="R6" s="3" t="inlineStr">
        <is>
          <t>5,7 kg</t>
        </is>
      </c>
      <c r="S6" s="3" t="inlineStr">
        <is>
          <t>ca. 76 dB</t>
        </is>
      </c>
      <c r="T6" s="3" t="inlineStr">
        <is>
          <t>Auffrischung</t>
        </is>
      </c>
      <c r="U6" s="3" t="inlineStr">
        <is>
          <t>Ja</t>
        </is>
      </c>
      <c r="V6" s="4" t="n">
        <v>380</v>
      </c>
      <c r="W6" s="3" t="inlineStr">
        <is>
          <t>ca. EUR 390</t>
        </is>
      </c>
      <c r="X6" s="3" t="inlineStr">
        <is>
          <t>Ja</t>
        </is>
      </c>
      <c r="Y6" s="3" t="inlineStr">
        <is>
          <t>Letzter Kabel-Wischsauger, Dampf, LED</t>
        </is>
      </c>
      <c r="Z6" s="3" t="inlineStr">
        <is>
          <t>Kleine Tanks, rückwärts schwach</t>
        </is>
      </c>
    </row>
    <row r="7">
      <c r="A7" s="5" t="inlineStr">
        <is>
          <t>Tineco Floor One Station S9 Artist</t>
        </is>
      </c>
      <c r="B7" s="6" t="inlineStr">
        <is>
          <t>Akku-Wischsauger + Refill-Station</t>
        </is>
      </c>
      <c r="C7" s="6" t="inlineStr">
        <is>
          <t>Akku (90 min)</t>
        </is>
      </c>
      <c r="D7" s="6" t="inlineStr">
        <is>
          <t>–</t>
        </is>
      </c>
      <c r="E7" s="6" t="inlineStr">
        <is>
          <t>230 W / 22 kPa</t>
        </is>
      </c>
      <c r="F7" s="6" t="inlineStr">
        <is>
          <t>Ja</t>
        </is>
      </c>
      <c r="G7" s="6" t="inlineStr">
        <is>
          <t>Ja (Absenk-Abstreifer)</t>
        </is>
      </c>
      <c r="H7" s="6" t="n">
        <v>0.85</v>
      </c>
      <c r="I7" s="6" t="n">
        <v>0.8</v>
      </c>
      <c r="J7" s="6" t="inlineStr">
        <is>
          <t>k. A.</t>
        </is>
      </c>
      <c r="K7" s="6" t="inlineStr">
        <is>
          <t>Ja (Heißwasser)</t>
        </is>
      </c>
      <c r="L7" s="6" t="inlineStr">
        <is>
          <t>Ja (85 °C)</t>
        </is>
      </c>
      <c r="M7" s="6" t="inlineStr">
        <is>
          <t>Ja (5-l-Station, auch heiß)</t>
        </is>
      </c>
      <c r="N7" s="6" t="inlineStr">
        <is>
          <t>Nein</t>
        </is>
      </c>
      <c r="O7" s="6" t="inlineStr">
        <is>
          <t>Nein</t>
        </is>
      </c>
      <c r="P7" s="6" t="inlineStr">
        <is>
          <t>Nein</t>
        </is>
      </c>
      <c r="Q7" s="6" t="inlineStr">
        <is>
          <t>Ja (5 l)</t>
        </is>
      </c>
      <c r="R7" s="6" t="inlineStr">
        <is>
          <t>ca. 5 kg</t>
        </is>
      </c>
      <c r="S7" s="6" t="inlineStr">
        <is>
          <t>ca. 51 dB</t>
        </is>
      </c>
      <c r="T7" s="6" t="inlineStr">
        <is>
          <t>Nein</t>
        </is>
      </c>
      <c r="U7" s="6" t="inlineStr">
        <is>
          <t>Ja</t>
        </is>
      </c>
      <c r="V7" s="7" t="n">
        <v>850</v>
      </c>
      <c r="W7" s="6" t="inlineStr">
        <is>
          <t>EUR 899 (UVP)</t>
        </is>
      </c>
      <c r="X7" s="6" t="inlineStr">
        <is>
          <t>Online</t>
        </is>
      </c>
      <c r="Y7" s="6" t="inlineStr">
        <is>
          <t>Auto-Befüllung + Mitteldosierung, Top-Selbstreinigung</t>
        </is>
      </c>
      <c r="Z7" s="6" t="inlineStr">
        <is>
          <t>Akku, Schmutzwasser manuell</t>
        </is>
      </c>
    </row>
    <row r="8">
      <c r="A8" s="2" t="inlineStr">
        <is>
          <t>Dreame H15 Pro</t>
        </is>
      </c>
      <c r="B8" s="3" t="inlineStr">
        <is>
          <t>Akku-Wischsauger</t>
        </is>
      </c>
      <c r="C8" s="3" t="inlineStr">
        <is>
          <t>Akku (40–60 min)</t>
        </is>
      </c>
      <c r="D8" s="3" t="inlineStr">
        <is>
          <t>–</t>
        </is>
      </c>
      <c r="E8" s="3" t="inlineStr">
        <is>
          <t>400 W / 21 kPa</t>
        </is>
      </c>
      <c r="F8" s="3" t="inlineStr">
        <is>
          <t>Ja</t>
        </is>
      </c>
      <c r="G8" s="3" t="inlineStr">
        <is>
          <t>Ja (KI-Schaber)</t>
        </is>
      </c>
      <c r="H8" s="3" t="n">
        <v>0.78</v>
      </c>
      <c r="I8" s="3" t="n">
        <v>0.7</v>
      </c>
      <c r="J8" s="3" t="inlineStr">
        <is>
          <t>k. A.</t>
        </is>
      </c>
      <c r="K8" s="3" t="inlineStr">
        <is>
          <t>Ja (100 °C)</t>
        </is>
      </c>
      <c r="L8" s="3" t="inlineStr">
        <is>
          <t>Ja (90 °C)</t>
        </is>
      </c>
      <c r="M8" s="3" t="inlineStr">
        <is>
          <t>Nein</t>
        </is>
      </c>
      <c r="N8" s="3" t="inlineStr">
        <is>
          <t>Nein</t>
        </is>
      </c>
      <c r="O8" s="3" t="inlineStr">
        <is>
          <t>Nein</t>
        </is>
      </c>
      <c r="P8" s="3" t="inlineStr">
        <is>
          <t>Nein</t>
        </is>
      </c>
      <c r="Q8" s="3" t="inlineStr">
        <is>
          <t>Ja</t>
        </is>
      </c>
      <c r="R8" s="3" t="inlineStr">
        <is>
          <t>5,8 kg</t>
        </is>
      </c>
      <c r="S8" s="3" t="inlineStr">
        <is>
          <t>k. A.</t>
        </is>
      </c>
      <c r="T8" s="3" t="inlineStr">
        <is>
          <t>Nein</t>
        </is>
      </c>
      <c r="U8" s="3" t="inlineStr">
        <is>
          <t>Ja</t>
        </is>
      </c>
      <c r="V8" s="4" t="n">
        <v>400</v>
      </c>
      <c r="W8" s="3" t="inlineStr">
        <is>
          <t>ab ca. EUR 350</t>
        </is>
      </c>
      <c r="X8" s="3" t="inlineStr">
        <is>
          <t>Ja</t>
        </is>
      </c>
      <c r="Y8" s="3" t="inlineStr">
        <is>
          <t>Preis-Leistungs-Sieger, 100-°C-Hygiene, anti-tangle</t>
        </is>
      </c>
      <c r="Z8" s="3" t="inlineStr">
        <is>
          <t>Akku, manuelles Tank-Handling</t>
        </is>
      </c>
    </row>
    <row r="9">
      <c r="A9" s="5" t="inlineStr">
        <is>
          <t>Dreame X50 Master</t>
        </is>
      </c>
      <c r="B9" s="6" t="inlineStr">
        <is>
          <t>Roboter + Festwasserstation</t>
        </is>
      </c>
      <c r="C9" s="6" t="inlineStr">
        <is>
          <t>Akku (Roboter)</t>
        </is>
      </c>
      <c r="D9" s="6" t="inlineStr">
        <is>
          <t>–</t>
        </is>
      </c>
      <c r="E9" s="6" t="inlineStr">
        <is>
          <t>20’000 Pa</t>
        </is>
      </c>
      <c r="F9" s="6" t="inlineStr">
        <is>
          <t>autonom</t>
        </is>
      </c>
      <c r="G9" s="6" t="inlineStr">
        <is>
          <t>autonom</t>
        </is>
      </c>
      <c r="H9" s="6" t="inlineStr">
        <is>
          <t>unbegrenzt (Festwasser)</t>
        </is>
      </c>
      <c r="I9" s="6" t="inlineStr">
        <is>
          <t>direkt in Abfluss</t>
        </is>
      </c>
      <c r="J9" s="6" t="inlineStr">
        <is>
          <t>k. A.</t>
        </is>
      </c>
      <c r="K9" s="6" t="inlineStr">
        <is>
          <t>Ja (80 °C)</t>
        </is>
      </c>
      <c r="L9" s="6" t="inlineStr">
        <is>
          <t>Ja</t>
        </is>
      </c>
      <c r="M9" s="6" t="inlineStr">
        <is>
          <t>Ja (Wasserleitung)</t>
        </is>
      </c>
      <c r="N9" s="6" t="inlineStr">
        <is>
          <t>Ja (Abfluss)</t>
        </is>
      </c>
      <c r="O9" s="6" t="inlineStr">
        <is>
          <t>Ja</t>
        </is>
      </c>
      <c r="P9" s="6" t="inlineStr">
        <is>
          <t>Ja</t>
        </is>
      </c>
      <c r="Q9" s="6" t="inlineStr">
        <is>
          <t>Ja (24,9 cm)</t>
        </is>
      </c>
      <c r="R9" s="6" t="inlineStr">
        <is>
          <t>–</t>
        </is>
      </c>
      <c r="S9" s="6" t="inlineStr">
        <is>
          <t>75 dB</t>
        </is>
      </c>
      <c r="T9" s="6" t="inlineStr">
        <is>
          <t>Ja (Mopp-Anhebung)</t>
        </is>
      </c>
      <c r="U9" s="6" t="inlineStr">
        <is>
          <t>Ja</t>
        </is>
      </c>
      <c r="V9" s="7" t="n">
        <v>939</v>
      </c>
      <c r="W9" s="6" t="inlineStr">
        <is>
          <t>CHF 939</t>
        </is>
      </c>
      <c r="X9" s="6" t="inlineStr">
        <is>
          <t>Ja</t>
        </is>
      </c>
      <c r="Y9" s="6" t="inlineStr">
        <is>
          <t>Festwasser ab Werk, null Tank-Handling</t>
        </is>
      </c>
      <c r="Z9" s="6" t="inlineStr">
        <is>
          <t>Roboter statt Handgerät, Installation</t>
        </is>
      </c>
    </row>
    <row r="10">
      <c r="A10" s="2" t="inlineStr">
        <is>
          <t>SwitchBot S10</t>
        </is>
      </c>
      <c r="B10" s="3" t="inlineStr">
        <is>
          <t>Roboter + Wasserstation</t>
        </is>
      </c>
      <c r="C10" s="3" t="inlineStr">
        <is>
          <t>Akku (Roboter)</t>
        </is>
      </c>
      <c r="D10" s="3" t="inlineStr">
        <is>
          <t>–</t>
        </is>
      </c>
      <c r="E10" s="3" t="inlineStr">
        <is>
          <t>6’500 Pa</t>
        </is>
      </c>
      <c r="F10" s="3" t="inlineStr">
        <is>
          <t>autonom</t>
        </is>
      </c>
      <c r="G10" s="3" t="inlineStr">
        <is>
          <t>autonom</t>
        </is>
      </c>
      <c r="H10" s="3" t="inlineStr">
        <is>
          <t>unbegrenzt (Festwasser)</t>
        </is>
      </c>
      <c r="I10" s="3" t="inlineStr">
        <is>
          <t>direkt in Abfluss</t>
        </is>
      </c>
      <c r="J10" s="3" t="inlineStr">
        <is>
          <t>k. A.</t>
        </is>
      </c>
      <c r="K10" s="3" t="inlineStr">
        <is>
          <t>Ja</t>
        </is>
      </c>
      <c r="L10" s="3" t="inlineStr">
        <is>
          <t>Ja (50 °C)</t>
        </is>
      </c>
      <c r="M10" s="3" t="inlineStr">
        <is>
          <t>Ja (Wasserleitung)</t>
        </is>
      </c>
      <c r="N10" s="3" t="inlineStr">
        <is>
          <t>Ja (Abfluss)</t>
        </is>
      </c>
      <c r="O10" s="3" t="inlineStr">
        <is>
          <t>Ja</t>
        </is>
      </c>
      <c r="P10" s="3" t="inlineStr">
        <is>
          <t>Ja</t>
        </is>
      </c>
      <c r="Q10" s="3" t="inlineStr">
        <is>
          <t>Ja (stromlos)</t>
        </is>
      </c>
      <c r="R10" s="3" t="inlineStr">
        <is>
          <t>–</t>
        </is>
      </c>
      <c r="S10" s="3" t="inlineStr">
        <is>
          <t>k. A.</t>
        </is>
      </c>
      <c r="T10" s="3" t="inlineStr">
        <is>
          <t>Saugen ja</t>
        </is>
      </c>
      <c r="U10" s="3" t="inlineStr">
        <is>
          <t>Ja</t>
        </is>
      </c>
      <c r="V10" s="4" t="n">
        <v>706</v>
      </c>
      <c r="W10" s="3" t="inlineStr">
        <is>
          <t>CHF 706</t>
        </is>
      </c>
      <c r="X10" s="3" t="inlineStr">
        <is>
          <t>Ja</t>
        </is>
      </c>
      <c r="Y10" s="3" t="inlineStr">
        <is>
          <t>Günstigster Vollautomat, clevere Wasserstation</t>
        </is>
      </c>
      <c r="Z10" s="3" t="inlineStr">
        <is>
          <t>Weniger Schrubbkraft, Installation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8" t="inlineStr">
        <is>
          <t>NUTZWERTANALYSE – Gewichte in den GELBEN Zellen (Spalte C) ändern, alles rechnet sich automatisch neu!</t>
        </is>
      </c>
    </row>
    <row r="3" ht="60" customHeight="1">
      <c r="A3" s="1" t="inlineStr">
        <is>
          <t>Kriterium</t>
        </is>
      </c>
      <c r="B3" s="1" t="inlineStr">
        <is>
          <t>Erklärung</t>
        </is>
      </c>
      <c r="C3" s="1" t="inlineStr">
        <is>
          <t>Gewicht (0–10)
← HIER ÄNDERN</t>
        </is>
      </c>
      <c r="D3" s="1" t="inlineStr">
        <is>
          <t>Gewicht %</t>
        </is>
      </c>
      <c r="E3" s="1" t="inlineStr">
        <is>
          <t>Kärcher BR 30/4 C Ep</t>
        </is>
      </c>
      <c r="F3" s="1" t="inlineStr">
        <is>
          <t>Kärcher BR 40/10 C Adv</t>
        </is>
      </c>
      <c r="G3" s="1" t="inlineStr">
        <is>
          <t>Nilfisk SC100 E</t>
        </is>
      </c>
      <c r="H3" s="1" t="inlineStr">
        <is>
          <t>Truvox Multiwash PRO 340</t>
        </is>
      </c>
      <c r="I3" s="1" t="inlineStr">
        <is>
          <t>Bissell CrossWave HydroSteam Pet Pro</t>
        </is>
      </c>
      <c r="J3" s="1" t="inlineStr">
        <is>
          <t>Tineco Floor One Station S9 Artist</t>
        </is>
      </c>
      <c r="K3" s="1" t="inlineStr">
        <is>
          <t>Dreame H15 Pro</t>
        </is>
      </c>
      <c r="L3" s="1" t="inlineStr">
        <is>
          <t>Dreame X50 Master</t>
        </is>
      </c>
      <c r="M3" s="1" t="inlineStr">
        <is>
          <t>SwitchBot S10</t>
        </is>
      </c>
    </row>
    <row r="4">
      <c r="A4" s="2" t="inlineStr">
        <is>
          <t>Kabel / Dauerbetrieb</t>
        </is>
      </c>
      <c r="B4" s="3" t="inlineStr">
        <is>
          <t>Netzbetrieb ohne Akku-Limit; Roboter laden autonom (Teilpunkte)</t>
        </is>
      </c>
      <c r="C4" s="9" t="n">
        <v>10</v>
      </c>
      <c r="D4" s="10">
        <f>C4/SUM($C$4:$C$13)</f>
        <v/>
      </c>
      <c r="E4" s="11" t="n">
        <v>10</v>
      </c>
      <c r="F4" s="11" t="n">
        <v>10</v>
      </c>
      <c r="G4" s="11" t="n">
        <v>10</v>
      </c>
      <c r="H4" s="11" t="n">
        <v>10</v>
      </c>
      <c r="I4" s="11" t="n">
        <v>10</v>
      </c>
      <c r="J4" s="12" t="n">
        <v>4</v>
      </c>
      <c r="K4" s="12" t="n">
        <v>3</v>
      </c>
      <c r="L4" s="12" t="n">
        <v>4</v>
      </c>
      <c r="M4" s="12" t="n">
        <v>4</v>
      </c>
    </row>
    <row r="5">
      <c r="A5" s="2" t="inlineStr">
        <is>
          <t>Tankvolumen &amp; Wasser-Reichweite</t>
        </is>
      </c>
      <c r="B5" s="3" t="inlineStr">
        <is>
          <t>Tankgröße bzw. unbegrenzte Versorgung per Festwasser</t>
        </is>
      </c>
      <c r="C5" s="9" t="n">
        <v>9</v>
      </c>
      <c r="D5" s="10">
        <f>C5/SUM($C$4:$C$13)</f>
        <v/>
      </c>
      <c r="E5" s="12" t="n">
        <v>7</v>
      </c>
      <c r="F5" s="11" t="n">
        <v>10</v>
      </c>
      <c r="G5" s="12" t="n">
        <v>6</v>
      </c>
      <c r="H5" s="12" t="n">
        <v>7</v>
      </c>
      <c r="I5" s="12" t="n">
        <v>3</v>
      </c>
      <c r="J5" s="12" t="n">
        <v>6</v>
      </c>
      <c r="K5" s="12" t="n">
        <v>3</v>
      </c>
      <c r="L5" s="11" t="n">
        <v>10</v>
      </c>
      <c r="M5" s="11" t="n">
        <v>10</v>
      </c>
    </row>
    <row r="6">
      <c r="A6" s="2" t="inlineStr">
        <is>
          <t>Reinigung vorwärts + rückwärts</t>
        </is>
      </c>
      <c r="B6" s="3" t="inlineStr">
        <is>
          <t>Dokumentierte Wasseraufnahme in beiden Richtungen</t>
        </is>
      </c>
      <c r="C6" s="9" t="n">
        <v>9</v>
      </c>
      <c r="D6" s="10">
        <f>C6/SUM($C$4:$C$13)</f>
        <v/>
      </c>
      <c r="E6" s="11" t="n">
        <v>10</v>
      </c>
      <c r="F6" s="11" t="n">
        <v>10</v>
      </c>
      <c r="G6" s="12" t="n">
        <v>9</v>
      </c>
      <c r="H6" s="12" t="n">
        <v>9</v>
      </c>
      <c r="I6" s="12" t="n">
        <v>3</v>
      </c>
      <c r="J6" s="12" t="n">
        <v>8</v>
      </c>
      <c r="K6" s="12" t="n">
        <v>7</v>
      </c>
      <c r="L6" s="12" t="n">
        <v>8</v>
      </c>
      <c r="M6" s="12" t="n">
        <v>8</v>
      </c>
    </row>
    <row r="7">
      <c r="A7" s="2" t="inlineStr">
        <is>
          <t>Selbstreinigung &amp; Trocknung</t>
        </is>
      </c>
      <c r="B7" s="3" t="inlineStr">
        <is>
          <t>Automatische Walzen-/Moppwäsche + Heißluft</t>
        </is>
      </c>
      <c r="C7" s="9" t="n">
        <v>5</v>
      </c>
      <c r="D7" s="10">
        <f>C7/SUM($C$4:$C$13)</f>
        <v/>
      </c>
      <c r="E7" s="12" t="n">
        <v>2</v>
      </c>
      <c r="F7" s="12" t="n">
        <v>2</v>
      </c>
      <c r="G7" s="12" t="n">
        <v>2</v>
      </c>
      <c r="H7" s="12" t="n">
        <v>2</v>
      </c>
      <c r="I7" s="12" t="n">
        <v>5</v>
      </c>
      <c r="J7" s="11" t="n">
        <v>10</v>
      </c>
      <c r="K7" s="12" t="n">
        <v>9</v>
      </c>
      <c r="L7" s="11" t="n">
        <v>10</v>
      </c>
      <c r="M7" s="12" t="n">
        <v>9</v>
      </c>
    </row>
    <row r="8">
      <c r="A8" s="2" t="inlineStr">
        <is>
          <t>Wasser-Automatik (Refill/Abwasser)</t>
        </is>
      </c>
      <c r="B8" s="3" t="inlineStr">
        <is>
          <t>Auto-Nachfüllen und/oder direkte Entsorgung</t>
        </is>
      </c>
      <c r="C8" s="9" t="n">
        <v>8</v>
      </c>
      <c r="D8" s="10">
        <f>C8/SUM($C$4:$C$13)</f>
        <v/>
      </c>
      <c r="E8" s="12" t="n">
        <v>2</v>
      </c>
      <c r="F8" s="12" t="n">
        <v>2</v>
      </c>
      <c r="G8" s="12" t="n">
        <v>1</v>
      </c>
      <c r="H8" s="12" t="n">
        <v>1</v>
      </c>
      <c r="I8" s="12" t="n">
        <v>1</v>
      </c>
      <c r="J8" s="12" t="n">
        <v>6</v>
      </c>
      <c r="K8" s="12" t="n">
        <v>1</v>
      </c>
      <c r="L8" s="11" t="n">
        <v>10</v>
      </c>
      <c r="M8" s="11" t="n">
        <v>10</v>
      </c>
    </row>
    <row r="9">
      <c r="A9" s="2" t="inlineStr">
        <is>
          <t>Handhabung &amp; Alltagsaufwand</t>
        </is>
      </c>
      <c r="B9" s="3" t="inlineStr">
        <is>
          <t>Gewicht, Manövrierbarkeit, Eigenaufwand</t>
        </is>
      </c>
      <c r="C9" s="9" t="n">
        <v>4</v>
      </c>
      <c r="D9" s="10">
        <f>C9/SUM($C$4:$C$13)</f>
        <v/>
      </c>
      <c r="E9" s="12" t="n">
        <v>6</v>
      </c>
      <c r="F9" s="12" t="n">
        <v>2</v>
      </c>
      <c r="G9" s="12" t="n">
        <v>7</v>
      </c>
      <c r="H9" s="12" t="n">
        <v>4</v>
      </c>
      <c r="I9" s="12" t="n">
        <v>7</v>
      </c>
      <c r="J9" s="12" t="n">
        <v>8</v>
      </c>
      <c r="K9" s="12" t="n">
        <v>9</v>
      </c>
      <c r="L9" s="11" t="n">
        <v>10</v>
      </c>
      <c r="M9" s="11" t="n">
        <v>10</v>
      </c>
    </row>
    <row r="10">
      <c r="A10" s="2" t="inlineStr">
        <is>
          <t>Schrubbkraft / Tiefenreinigung</t>
        </is>
      </c>
      <c r="B10" s="3" t="inlineStr">
        <is>
          <t>Anpressdruck, Drehzahl, Saugleistung</t>
        </is>
      </c>
      <c r="C10" s="9" t="n">
        <v>6</v>
      </c>
      <c r="D10" s="10">
        <f>C10/SUM($C$4:$C$13)</f>
        <v/>
      </c>
      <c r="E10" s="12" t="n">
        <v>9</v>
      </c>
      <c r="F10" s="11" t="n">
        <v>10</v>
      </c>
      <c r="G10" s="12" t="n">
        <v>8</v>
      </c>
      <c r="H10" s="12" t="n">
        <v>9</v>
      </c>
      <c r="I10" s="12" t="n">
        <v>6</v>
      </c>
      <c r="J10" s="12" t="n">
        <v>7</v>
      </c>
      <c r="K10" s="12" t="n">
        <v>7</v>
      </c>
      <c r="L10" s="12" t="n">
        <v>5</v>
      </c>
      <c r="M10" s="12" t="n">
        <v>4</v>
      </c>
    </row>
    <row r="11">
      <c r="A11" s="2" t="inlineStr">
        <is>
          <t>Preis-Leistung</t>
        </is>
      </c>
      <c r="B11" s="3" t="inlineStr">
        <is>
          <t>Nutzen im Verhältnis zum Preis</t>
        </is>
      </c>
      <c r="C11" s="9" t="n">
        <v>3</v>
      </c>
      <c r="D11" s="10">
        <f>C11/SUM($C$4:$C$13)</f>
        <v/>
      </c>
      <c r="E11" s="12" t="n">
        <v>4</v>
      </c>
      <c r="F11" s="12" t="n">
        <v>2</v>
      </c>
      <c r="G11" s="12" t="n">
        <v>5</v>
      </c>
      <c r="H11" s="12" t="n">
        <v>3</v>
      </c>
      <c r="I11" s="12" t="n">
        <v>8</v>
      </c>
      <c r="J11" s="12" t="n">
        <v>6</v>
      </c>
      <c r="K11" s="11" t="n">
        <v>10</v>
      </c>
      <c r="L11" s="12" t="n">
        <v>7</v>
      </c>
      <c r="M11" s="12" t="n">
        <v>8</v>
      </c>
    </row>
    <row r="12">
      <c r="A12" s="2" t="inlineStr">
        <is>
          <t>Verfügbarkeit Schweiz</t>
        </is>
      </c>
      <c r="B12" s="3" t="inlineStr">
        <is>
          <t>Regulär bei CH-Händlern inkl. Service</t>
        </is>
      </c>
      <c r="C12" s="9" t="n">
        <v>4</v>
      </c>
      <c r="D12" s="10">
        <f>C12/SUM($C$4:$C$13)</f>
        <v/>
      </c>
      <c r="E12" s="12" t="n">
        <v>9</v>
      </c>
      <c r="F12" s="12" t="n">
        <v>7</v>
      </c>
      <c r="G12" s="12" t="n">
        <v>9</v>
      </c>
      <c r="H12" s="12" t="n">
        <v>3</v>
      </c>
      <c r="I12" s="12" t="n">
        <v>9</v>
      </c>
      <c r="J12" s="12" t="n">
        <v>6</v>
      </c>
      <c r="K12" s="12" t="n">
        <v>9</v>
      </c>
      <c r="L12" s="11" t="n">
        <v>10</v>
      </c>
      <c r="M12" s="11" t="n">
        <v>10</v>
      </c>
    </row>
    <row r="13">
      <c r="A13" s="2" t="inlineStr">
        <is>
          <t>Teppicheignung</t>
        </is>
      </c>
      <c r="B13" s="3" t="inlineStr">
        <is>
          <t>Teppiche reinigen oder auffrischen</t>
        </is>
      </c>
      <c r="C13" s="9" t="n">
        <v>1</v>
      </c>
      <c r="D13" s="10">
        <f>C13/SUM($C$4:$C$13)</f>
        <v/>
      </c>
      <c r="E13" s="12" t="n">
        <v>1</v>
      </c>
      <c r="F13" s="12" t="n">
        <v>1</v>
      </c>
      <c r="G13" s="12" t="n">
        <v>4</v>
      </c>
      <c r="H13" s="11" t="n">
        <v>9</v>
      </c>
      <c r="I13" s="12" t="n">
        <v>6</v>
      </c>
      <c r="J13" s="12" t="n">
        <v>1</v>
      </c>
      <c r="K13" s="12" t="n">
        <v>1</v>
      </c>
      <c r="L13" s="12" t="n">
        <v>8</v>
      </c>
      <c r="M13" s="12" t="n">
        <v>7</v>
      </c>
    </row>
    <row r="14">
      <c r="A14" s="13" t="inlineStr">
        <is>
          <t>NUTZWERT (max. 10)</t>
        </is>
      </c>
      <c r="B14" s="14" t="n"/>
      <c r="C14" s="14" t="n"/>
      <c r="D14" s="14" t="n"/>
      <c r="E14" s="15">
        <f>SUMPRODUCT($D$4:$D$13,E4:E13)</f>
        <v/>
      </c>
      <c r="F14" s="15">
        <f>SUMPRODUCT($D$4:$D$13,F4:F13)</f>
        <v/>
      </c>
      <c r="G14" s="15">
        <f>SUMPRODUCT($D$4:$D$13,G4:G13)</f>
        <v/>
      </c>
      <c r="H14" s="15">
        <f>SUMPRODUCT($D$4:$D$13,H4:H13)</f>
        <v/>
      </c>
      <c r="I14" s="15">
        <f>SUMPRODUCT($D$4:$D$13,I4:I13)</f>
        <v/>
      </c>
      <c r="J14" s="15">
        <f>SUMPRODUCT($D$4:$D$13,J4:J13)</f>
        <v/>
      </c>
      <c r="K14" s="15">
        <f>SUMPRODUCT($D$4:$D$13,K4:K13)</f>
        <v/>
      </c>
      <c r="L14" s="15">
        <f>SUMPRODUCT($D$4:$D$13,L4:L13)</f>
        <v/>
      </c>
      <c r="M14" s="15">
        <f>SUMPRODUCT($D$4:$D$13,M4:M13)</f>
        <v/>
      </c>
    </row>
    <row r="15">
      <c r="A15" s="16" t="inlineStr">
        <is>
          <t>RANG</t>
        </is>
      </c>
      <c r="E15" s="17">
        <f>RANK(E14,$E$14:$M$14)</f>
        <v/>
      </c>
      <c r="F15" s="17">
        <f>RANK(F14,$E$14:$M$14)</f>
        <v/>
      </c>
      <c r="G15" s="17">
        <f>RANK(G14,$E$14:$M$14)</f>
        <v/>
      </c>
      <c r="H15" s="17">
        <f>RANK(H14,$E$14:$M$14)</f>
        <v/>
      </c>
      <c r="I15" s="17">
        <f>RANK(I14,$E$14:$M$14)</f>
        <v/>
      </c>
      <c r="J15" s="17">
        <f>RANK(J14,$E$14:$M$14)</f>
        <v/>
      </c>
      <c r="K15" s="17">
        <f>RANK(K14,$E$14:$M$14)</f>
        <v/>
      </c>
      <c r="L15" s="17">
        <f>RANK(L14,$E$14:$M$14)</f>
        <v/>
      </c>
      <c r="M15" s="17">
        <f>RANK(M14,$E$14:$M$14)</f>
        <v/>
      </c>
    </row>
    <row r="16">
      <c r="A16" s="16" t="inlineStr">
        <is>
          <t>Preis ca. (CHF)</t>
        </is>
      </c>
      <c r="E16" s="18" t="n">
        <v>1250</v>
      </c>
      <c r="F16" s="18" t="n">
        <v>2200</v>
      </c>
      <c r="G16" s="18" t="n">
        <v>1290</v>
      </c>
      <c r="H16" s="18" t="n">
        <v>2000</v>
      </c>
      <c r="I16" s="18" t="n">
        <v>380</v>
      </c>
      <c r="J16" s="18" t="n">
        <v>850</v>
      </c>
      <c r="K16" s="18" t="n">
        <v>400</v>
      </c>
      <c r="L16" s="18" t="n">
        <v>939</v>
      </c>
      <c r="M16" s="18" t="n">
        <v>706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9" t="inlineStr">
        <is>
          <t>SO FUNKTIONIERT DIE NUTZWERTANALYSE</t>
        </is>
      </c>
      <c r="B1" s="20" t="inlineStr"/>
    </row>
    <row r="2">
      <c r="A2" s="16" t="inlineStr"/>
      <c r="B2" s="20" t="inlineStr"/>
    </row>
    <row r="3">
      <c r="A3" s="16" t="inlineStr">
        <is>
          <t>Formel</t>
        </is>
      </c>
      <c r="B3" s="20" t="inlineStr">
        <is>
          <t>Nutzwert(Gerät) = Σ ( Punktzahl je Kriterium × normiertes Gewicht ). Maximal 10 Punkte.</t>
        </is>
      </c>
    </row>
    <row r="4">
      <c r="A4" s="16" t="inlineStr">
        <is>
          <t>Schritt 1 – Kriterien</t>
        </is>
      </c>
      <c r="B4" s="20" t="inlineStr">
        <is>
          <t>10 Kriterien aus dem Anforderungsprofil: Kabelbetrieb, Tanks, beidseitige Reinigung, Selbstreinigung, Wasser-Automatik, Handhabung, Schrubbkraft, Preis-Leistung, CH-Verfügbarkeit, Teppich.</t>
        </is>
      </c>
    </row>
    <row r="5">
      <c r="A5" s="16" t="inlineStr">
        <is>
          <t>Schritt 2 – Punkte (0–10)</t>
        </is>
      </c>
      <c r="B5" s="20" t="inlineStr">
        <is>
          <t>Jedes Gerät erhält pro Kriterium Punkte auf Basis verifizierter Herstellerdaten (z. B. 10-l-Tank = 10 Punkte; dokumentierte beidseitige Absaugung = 9–10 Punkte). 10 = Klassenbester, 5 = Durchschnitt, 0 = nicht erfüllt.</t>
        </is>
      </c>
    </row>
    <row r="6">
      <c r="A6" s="16" t="inlineStr">
        <is>
          <t>Schritt 3 – Gewichten</t>
        </is>
      </c>
      <c r="B6" s="20" t="inlineStr">
        <is>
          <t>Im Blatt "Nutzwertanalyse" die GELBEN Zellen (Spalte C, 0–10) an die eigenen Prioritäten anpassen. Spalte D normiert automatisch auf 100 %.</t>
        </is>
      </c>
    </row>
    <row r="7">
      <c r="A7" s="16" t="inlineStr">
        <is>
          <t>Schritt 4 – Ergebnis</t>
        </is>
      </c>
      <c r="B7" s="20" t="inlineStr">
        <is>
          <t>Zeile "NUTZWERT" = gewichtete Summe je Gerät, Zeile "RANG" sortiert automatisch. Grüne Zellen = Bestwert im jeweiligen Kriterium.</t>
        </is>
      </c>
    </row>
    <row r="8">
      <c r="A8" s="16" t="inlineStr"/>
      <c r="B8" s="20" t="inlineStr"/>
    </row>
    <row r="9">
      <c r="A9" s="16" t="inlineStr">
        <is>
          <t>PREISE</t>
        </is>
      </c>
      <c r="B9" s="20" t="inlineStr">
        <is>
          <t>Preise sind Richtwerte (Stand 08/2026) aus CH-Shops bzw. umgerechnet; sie schwanken je nach Händler/Aktion. Der Preis fließt doppelt ein: als Kriterium "Preis-Leistung" UND als absolute Zeile unter dem Ranking – so sieht man, ob ein Nutzwert-Vorsprung den Aufpreis wert ist.</t>
        </is>
      </c>
    </row>
    <row r="10">
      <c r="A10" s="16" t="inlineStr"/>
      <c r="B10" s="20" t="inlineStr"/>
    </row>
    <row r="11">
      <c r="A11" s="16" t="inlineStr">
        <is>
          <t>K.-o.-KRITERIEN</t>
        </is>
      </c>
      <c r="B11" s="20" t="inlineStr">
        <is>
          <t>Wer z. B. zwingend ein Kabelgerät will: Gewicht "Kabel/Dauerbetrieb" auf 10 setzen – oder Akku-/Roboter-Spalten ignorieren/ausblenden.</t>
        </is>
      </c>
    </row>
    <row r="12">
      <c r="A12" s="16" t="inlineStr"/>
      <c r="B12" s="20" t="inlineStr"/>
    </row>
    <row r="13">
      <c r="A13" s="16" t="inlineStr">
        <is>
          <t>WICHTIGE ERKENNTNISSE DER RECHERCHE</t>
        </is>
      </c>
      <c r="B13" s="20" t="inlineStr"/>
    </row>
    <row r="14">
      <c r="A14" s="16" t="inlineStr">
        <is>
          <t>1</t>
        </is>
      </c>
      <c r="B14" s="20" t="inlineStr">
        <is>
          <t>Stationen mit festem Frischwasser- UND Abwasseranschluss gibt es 2026 nur bei Saugrobotern (Dreame X50 Master, SwitchBot S10, Ecovacs T50 Pro Omni ARAD, Roborock, Narwal).</t>
        </is>
      </c>
    </row>
    <row r="15">
      <c r="A15" s="16" t="inlineStr">
        <is>
          <t>2</t>
        </is>
      </c>
      <c r="B15" s="20" t="inlineStr">
        <is>
          <t>Das Pflichtprofil "Kabel + große Tanks + vorwärts/rückwärts" erfüllen nur kompakte Scheuersaugmaschinen (Kärcher BR-Serie, Nilfisk SC100, Truvox Multiwash).</t>
        </is>
      </c>
    </row>
    <row r="16">
      <c r="A16" s="16" t="inlineStr">
        <is>
          <t>3</t>
        </is>
      </c>
      <c r="B16" s="20" t="inlineStr">
        <is>
          <t>Bestes Handgerät mit Automatik: Tineco S9 Artist (5-l-Station füllt automatisch heißes Wasser nach) – Schmutzwasser bleibt aber Handarbeit.</t>
        </is>
      </c>
    </row>
    <row r="17">
      <c r="A17" s="16" t="inlineStr"/>
      <c r="B17" s="20" t="inlineStr"/>
    </row>
    <row r="18">
      <c r="A18" s="16" t="inlineStr">
        <is>
          <t>DATENBASIS</t>
        </is>
      </c>
      <c r="B18" s="20" t="inlineStr">
        <is>
          <t>Herstellerseiten, Datenblätter, Betriebsanleitungen, unabhängige Tests (Stand August 2026). Punktevergabe teils redaktionelle Einschätzung. Keine Gewähr.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2026-08-17T22:43:44Z</dcterms:created>
  <dcterms:modified xsi:type="dcterms:W3CDTF">2026-08-17T22:43:44Z</dcterms:modified>
</cp:coreProperties>
</file>